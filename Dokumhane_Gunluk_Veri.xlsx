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pplication\report\"/>
    </mc:Choice>
  </mc:AlternateContent>
  <xr:revisionPtr revIDLastSave="0" documentId="13_ncr:1_{CFA7BE46-7AD7-4A39-A4E4-EDB8F684E11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Günlük Veri" sheetId="1" r:id="rId1"/>
  </sheets>
  <definedNames>
    <definedName name="_xlnm._FilterDatabase" localSheetId="0" hidden="1">'Günlük Veri'!$A$1:$L$91</definedName>
  </definedName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4" i="1" l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13" i="1"/>
  <c r="K90" i="1"/>
  <c r="K89" i="1"/>
  <c r="K88" i="1"/>
  <c r="K87" i="1"/>
  <c r="K81" i="1"/>
</calcChain>
</file>

<file path=xl/sharedStrings.xml><?xml version="1.0" encoding="utf-8"?>
<sst xmlns="http://schemas.openxmlformats.org/spreadsheetml/2006/main" count="192" uniqueCount="46">
  <si>
    <t>Tarih</t>
  </si>
  <si>
    <t>Gün</t>
  </si>
  <si>
    <t>Kum kalıp adedi</t>
  </si>
  <si>
    <t>Kayıtlı tonaj (kg)</t>
  </si>
  <si>
    <t>Ocak ekibi (kişi)</t>
  </si>
  <si>
    <t>Kalıp ekibi (kişi)</t>
  </si>
  <si>
    <t>Elektrik (kişi)</t>
  </si>
  <si>
    <t>Toplam personel (kişi)</t>
  </si>
  <si>
    <t>Durum / Not</t>
  </si>
  <si>
    <t>Pazar</t>
  </si>
  <si>
    <t>Üretim</t>
  </si>
  <si>
    <t>Pazartesi</t>
  </si>
  <si>
    <t>Salı</t>
  </si>
  <si>
    <t>Çarşamba</t>
  </si>
  <si>
    <t>Perşembe</t>
  </si>
  <si>
    <t>Cuma</t>
  </si>
  <si>
    <t>Cumartesi</t>
  </si>
  <si>
    <t>İndüksiyon ocağı havalandırma çalışması dönemi</t>
  </si>
  <si>
    <t>Elektrik kesintisi (11:00)</t>
  </si>
  <si>
    <t>Ocak arızası (18:00 sonrası ergitme)</t>
  </si>
  <si>
    <t>Elektrik kesintisi (15:00 sonrası ergitme)</t>
  </si>
  <si>
    <t>Tatil</t>
  </si>
  <si>
    <t>Çift vardiya (07–15 / 15–23)</t>
  </si>
  <si>
    <t>Elektrik kesintisi (10:30 başlangıç)</t>
  </si>
  <si>
    <t>Resmi tatil (Kandil)</t>
  </si>
  <si>
    <t>Üretim 14:30’da durduruldu</t>
  </si>
  <si>
    <t>Elektrik kesintisi (1 saat)</t>
  </si>
  <si>
    <t>Resmi tatil</t>
  </si>
  <si>
    <t>Fren Diski Kalıbı</t>
  </si>
  <si>
    <t>500 Kg Dizel Ocak</t>
  </si>
  <si>
    <t>İndüksiyon Ocağı</t>
  </si>
  <si>
    <t>Elektrik kesintisi / bakım / temizlik / ürün paketleme</t>
  </si>
  <si>
    <t>Kısmi elektrik kesintisi</t>
  </si>
  <si>
    <t>İndüksiyon ocağı havalandırma çalışması dönemi / 1. konteynır sevkiyatı yapıldı</t>
  </si>
  <si>
    <t>2 vardiya çalışıldı.</t>
  </si>
  <si>
    <t>Hafta Tatili</t>
  </si>
  <si>
    <t>Resmi Tatil</t>
  </si>
  <si>
    <t>Elektrik kesintisi – Tam Gün - Üretim yok</t>
  </si>
  <si>
    <t>Elektrik kesintisi - Tam gün - Üretim yok - Vinç arızası giderildi. Fırın 1 ve fırın 2 onarıldı, test edildi. Klima fan bağlantı yeri çizildi. Genel temizlik yapıldı.</t>
  </si>
  <si>
    <t>Elektrik Kesintisi - Mazot Olmaması</t>
  </si>
  <si>
    <t>Elektrik kesintisi - Mazotlu ocak tamamen yapıldı; pota değişimi</t>
  </si>
  <si>
    <t>Üretim yapıldı. İndüksiyon ocağı hazırlıkları yapıldı.</t>
  </si>
  <si>
    <t>İndüksiyon ocağının sinteri başlatıldı.</t>
  </si>
  <si>
    <t>İndüksiyon ocağıyla üretim yapıldı.</t>
  </si>
  <si>
    <t>İndüksiyon ve dizel ocak ile üretim yapıldı.</t>
  </si>
  <si>
    <t xml:space="preserve">İndüksiyon ocağı elektriksel kontaktör arızası oluştu. Parça talebi yapıdı.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</si>
</sst>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4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22262B"/>
        <bgColor rgb="FF3333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0D4D8"/>
      </left>
      <right style="thin">
        <color rgb="FFD0D4D8"/>
      </right>
      <top style="thin">
        <color rgb="FFD0D4D8"/>
      </top>
      <bottom style="thin">
        <color rgb="FFD0D4D8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" fontId="1" fillId="2" borderId="1" xfId="0" applyNumberFormat="1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/>
    </xf>
    <xf numFmtId="1" fontId="0" fillId="0" borderId="0" xfId="0" applyNumberFormat="1"/>
    <xf numFmtId="1" fontId="0" fillId="0" borderId="0" xfId="0" applyNumberFormat="1" applyAlignment="1">
      <alignment horizontal="center"/>
    </xf>
    <xf numFmtId="1" fontId="2" fillId="3" borderId="1" xfId="0" applyNumberFormat="1" applyFont="1" applyFill="1" applyBorder="1" applyAlignment="1">
      <alignment horizontal="center"/>
    </xf>
    <xf numFmtId="1" fontId="3" fillId="3" borderId="1" xfId="0" applyNumberFormat="1" applyFont="1" applyFill="1" applyBorder="1" applyAlignment="1">
      <alignment horizontal="center"/>
    </xf>
    <xf numFmtId="1" fontId="0" fillId="3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4F5"/>
      <rgbColor rgb="FFCCFFFF"/>
      <rgbColor rgb="FF660066"/>
      <rgbColor rgb="FFFF8080"/>
      <rgbColor rgb="FF0066CC"/>
      <rgbColor rgb="FFD0D4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62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1"/>
  <sheetViews>
    <sheetView tabSelected="1" zoomScale="145" zoomScaleNormal="14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G11" sqref="G11"/>
    </sheetView>
  </sheetViews>
  <sheetFormatPr defaultColWidth="8.6640625" defaultRowHeight="14.4" x14ac:dyDescent="0.3"/>
  <cols>
    <col min="1" max="1" width="10.109375" bestFit="1" customWidth="1"/>
    <col min="2" max="2" width="9.33203125" bestFit="1" customWidth="1"/>
    <col min="3" max="3" width="14.88671875" style="10" bestFit="1" customWidth="1"/>
    <col min="4" max="4" width="16.21875" style="10" bestFit="1" customWidth="1"/>
    <col min="5" max="5" width="14.21875" style="9" bestFit="1" customWidth="1"/>
    <col min="6" max="6" width="14" style="9" bestFit="1" customWidth="1"/>
    <col min="7" max="7" width="15.6640625" style="9" bestFit="1" customWidth="1"/>
    <col min="8" max="8" width="14.44140625" customWidth="1"/>
    <col min="9" max="9" width="14.33203125" customWidth="1"/>
    <col min="10" max="10" width="12" customWidth="1"/>
    <col min="11" max="11" width="17.88671875" customWidth="1"/>
    <col min="12" max="12" width="37.44140625" customWidth="1"/>
  </cols>
  <sheetData>
    <row r="1" spans="1:12" ht="31.5" customHeight="1" x14ac:dyDescent="0.3">
      <c r="A1" s="1" t="s">
        <v>0</v>
      </c>
      <c r="B1" s="1" t="s">
        <v>1</v>
      </c>
      <c r="C1" s="7" t="s">
        <v>30</v>
      </c>
      <c r="D1" s="7" t="s">
        <v>29</v>
      </c>
      <c r="E1" s="7" t="s">
        <v>28</v>
      </c>
      <c r="F1" s="7" t="s">
        <v>2</v>
      </c>
      <c r="G1" s="7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 x14ac:dyDescent="0.3">
      <c r="A2" s="2">
        <v>46201</v>
      </c>
      <c r="B2" s="3" t="s">
        <v>9</v>
      </c>
      <c r="C2" s="11"/>
      <c r="D2" s="12">
        <v>1</v>
      </c>
      <c r="E2" s="6">
        <v>14</v>
      </c>
      <c r="F2" s="6"/>
      <c r="G2" s="8">
        <v>460</v>
      </c>
      <c r="H2" s="5"/>
      <c r="I2" s="5"/>
      <c r="J2" s="5"/>
      <c r="K2" s="5"/>
      <c r="L2" s="3" t="s">
        <v>41</v>
      </c>
    </row>
    <row r="3" spans="1:12" x14ac:dyDescent="0.3">
      <c r="A3" s="2">
        <v>46202</v>
      </c>
      <c r="B3" s="3" t="s">
        <v>11</v>
      </c>
      <c r="C3" s="11"/>
      <c r="D3" s="12">
        <v>2</v>
      </c>
      <c r="E3" s="6">
        <v>27</v>
      </c>
      <c r="F3" s="6"/>
      <c r="G3" s="8">
        <v>910</v>
      </c>
      <c r="H3" s="5"/>
      <c r="I3" s="5"/>
      <c r="J3" s="5"/>
      <c r="K3" s="5"/>
      <c r="L3" s="3" t="s">
        <v>41</v>
      </c>
    </row>
    <row r="4" spans="1:12" x14ac:dyDescent="0.3">
      <c r="A4" s="2">
        <v>46203</v>
      </c>
      <c r="B4" s="3" t="s">
        <v>12</v>
      </c>
      <c r="C4" s="11"/>
      <c r="D4" s="12">
        <v>2</v>
      </c>
      <c r="E4" s="6">
        <v>27</v>
      </c>
      <c r="F4" s="6"/>
      <c r="G4" s="8">
        <v>915</v>
      </c>
      <c r="H4" s="5"/>
      <c r="I4" s="5"/>
      <c r="J4" s="5"/>
      <c r="K4" s="5"/>
      <c r="L4" s="3" t="s">
        <v>41</v>
      </c>
    </row>
    <row r="5" spans="1:12" x14ac:dyDescent="0.3">
      <c r="A5" s="2">
        <v>46204</v>
      </c>
      <c r="B5" s="3" t="s">
        <v>13</v>
      </c>
      <c r="C5" s="11"/>
      <c r="D5" s="12">
        <v>3</v>
      </c>
      <c r="E5" s="6">
        <v>41</v>
      </c>
      <c r="F5" s="6"/>
      <c r="G5" s="8">
        <v>1375</v>
      </c>
      <c r="H5" s="5"/>
      <c r="I5" s="5"/>
      <c r="J5" s="5"/>
      <c r="K5" s="5"/>
      <c r="L5" s="3" t="s">
        <v>41</v>
      </c>
    </row>
    <row r="6" spans="1:12" x14ac:dyDescent="0.3">
      <c r="A6" s="2">
        <v>46205</v>
      </c>
      <c r="B6" s="3" t="s">
        <v>14</v>
      </c>
      <c r="C6" s="11"/>
      <c r="D6" s="12">
        <v>4</v>
      </c>
      <c r="E6" s="6">
        <v>54</v>
      </c>
      <c r="F6" s="6"/>
      <c r="G6" s="8">
        <v>1815</v>
      </c>
      <c r="H6" s="5"/>
      <c r="I6" s="5"/>
      <c r="J6" s="5"/>
      <c r="K6" s="5"/>
      <c r="L6" s="3" t="s">
        <v>41</v>
      </c>
    </row>
    <row r="7" spans="1:12" x14ac:dyDescent="0.3">
      <c r="A7" s="2">
        <v>46206</v>
      </c>
      <c r="B7" s="3" t="s">
        <v>15</v>
      </c>
      <c r="C7" s="11"/>
      <c r="D7" s="11"/>
      <c r="E7" s="6"/>
      <c r="F7" s="8"/>
      <c r="G7" s="8"/>
      <c r="H7" s="5"/>
      <c r="I7" s="5"/>
      <c r="J7" s="5"/>
      <c r="K7" s="5"/>
      <c r="L7" s="3" t="s">
        <v>35</v>
      </c>
    </row>
    <row r="8" spans="1:12" x14ac:dyDescent="0.3">
      <c r="A8" s="2">
        <v>46207</v>
      </c>
      <c r="B8" s="3" t="s">
        <v>16</v>
      </c>
      <c r="C8" s="11"/>
      <c r="D8" s="12">
        <v>3</v>
      </c>
      <c r="E8" s="6">
        <v>40</v>
      </c>
      <c r="F8" s="6"/>
      <c r="G8" s="8">
        <v>1350</v>
      </c>
      <c r="H8" s="5"/>
      <c r="I8" s="5"/>
      <c r="J8" s="5"/>
      <c r="K8" s="5"/>
      <c r="L8" s="3" t="s">
        <v>41</v>
      </c>
    </row>
    <row r="9" spans="1:12" x14ac:dyDescent="0.3">
      <c r="A9" s="2">
        <v>46208</v>
      </c>
      <c r="B9" s="3" t="s">
        <v>9</v>
      </c>
      <c r="C9" s="11"/>
      <c r="D9" s="12">
        <v>4</v>
      </c>
      <c r="E9" s="6">
        <v>54</v>
      </c>
      <c r="F9" s="6"/>
      <c r="G9" s="8">
        <v>1820</v>
      </c>
      <c r="H9" s="5"/>
      <c r="I9" s="5"/>
      <c r="J9" s="5"/>
      <c r="K9" s="5"/>
      <c r="L9" s="3" t="s">
        <v>41</v>
      </c>
    </row>
    <row r="10" spans="1:12" x14ac:dyDescent="0.3">
      <c r="A10" s="2">
        <v>46209</v>
      </c>
      <c r="B10" s="3" t="s">
        <v>11</v>
      </c>
      <c r="C10" s="11"/>
      <c r="D10" s="12">
        <v>4</v>
      </c>
      <c r="E10" s="6">
        <v>55</v>
      </c>
      <c r="F10" s="6"/>
      <c r="G10" s="8">
        <v>1845</v>
      </c>
      <c r="H10" s="5"/>
      <c r="I10" s="5"/>
      <c r="J10" s="5"/>
      <c r="K10" s="5"/>
      <c r="L10" s="3" t="s">
        <v>42</v>
      </c>
    </row>
    <row r="11" spans="1:12" x14ac:dyDescent="0.3">
      <c r="A11" s="2">
        <v>46210</v>
      </c>
      <c r="B11" s="3" t="s">
        <v>12</v>
      </c>
      <c r="C11" s="12">
        <v>2</v>
      </c>
      <c r="D11" s="13"/>
      <c r="E11" s="6">
        <v>31</v>
      </c>
      <c r="F11" s="6"/>
      <c r="G11" s="8">
        <v>1030</v>
      </c>
      <c r="H11" s="5"/>
      <c r="I11" s="5"/>
      <c r="J11" s="5"/>
      <c r="K11" s="5"/>
      <c r="L11" s="3" t="s">
        <v>43</v>
      </c>
    </row>
    <row r="12" spans="1:12" x14ac:dyDescent="0.3">
      <c r="A12" s="2">
        <v>46211</v>
      </c>
      <c r="B12" s="3" t="s">
        <v>13</v>
      </c>
      <c r="C12" s="11">
        <v>2</v>
      </c>
      <c r="D12" s="12">
        <v>3</v>
      </c>
      <c r="E12" s="6">
        <v>34</v>
      </c>
      <c r="F12" s="8"/>
      <c r="G12" s="8">
        <v>1120</v>
      </c>
      <c r="H12" s="5"/>
      <c r="I12" s="5"/>
      <c r="J12" s="5"/>
      <c r="K12" s="5"/>
      <c r="L12" s="3" t="s">
        <v>44</v>
      </c>
    </row>
    <row r="13" spans="1:12" x14ac:dyDescent="0.3">
      <c r="A13" s="2">
        <v>46212</v>
      </c>
      <c r="B13" s="3" t="s">
        <v>14</v>
      </c>
      <c r="C13" s="12">
        <v>2</v>
      </c>
      <c r="D13" s="13"/>
      <c r="E13" s="6"/>
      <c r="F13" s="8">
        <v>4</v>
      </c>
      <c r="G13" s="8">
        <f>F13*540</f>
        <v>2160</v>
      </c>
      <c r="H13" s="5"/>
      <c r="I13" s="5"/>
      <c r="J13" s="5"/>
      <c r="K13" s="5"/>
      <c r="L13" s="3" t="s">
        <v>43</v>
      </c>
    </row>
    <row r="14" spans="1:12" x14ac:dyDescent="0.3">
      <c r="A14" s="2">
        <v>46213</v>
      </c>
      <c r="B14" s="3" t="s">
        <v>15</v>
      </c>
      <c r="C14" s="11"/>
      <c r="D14" s="13"/>
      <c r="E14" s="8"/>
      <c r="F14" s="8"/>
      <c r="G14" s="8">
        <f t="shared" ref="G14:G77" si="0">F14*540</f>
        <v>0</v>
      </c>
      <c r="H14" s="5"/>
      <c r="I14" s="5"/>
      <c r="J14" s="5"/>
      <c r="K14" s="5"/>
      <c r="L14" s="3" t="s">
        <v>21</v>
      </c>
    </row>
    <row r="15" spans="1:12" x14ac:dyDescent="0.3">
      <c r="A15" s="2">
        <v>46214</v>
      </c>
      <c r="B15" s="3" t="s">
        <v>16</v>
      </c>
      <c r="C15" s="12">
        <v>1</v>
      </c>
      <c r="D15" s="13">
        <v>2</v>
      </c>
      <c r="E15" s="6"/>
      <c r="F15" s="8">
        <v>4</v>
      </c>
      <c r="G15" s="8">
        <f t="shared" si="0"/>
        <v>2160</v>
      </c>
      <c r="H15" s="5"/>
      <c r="I15" s="5"/>
      <c r="J15" s="5"/>
      <c r="K15" s="5"/>
      <c r="L15" s="3" t="s">
        <v>44</v>
      </c>
    </row>
    <row r="16" spans="1:12" x14ac:dyDescent="0.3">
      <c r="A16" s="2">
        <v>46215</v>
      </c>
      <c r="B16" s="3" t="s">
        <v>9</v>
      </c>
      <c r="C16" s="11"/>
      <c r="D16" s="13">
        <v>2</v>
      </c>
      <c r="E16" s="8"/>
      <c r="F16" s="8">
        <v>2</v>
      </c>
      <c r="G16" s="8">
        <f t="shared" si="0"/>
        <v>1080</v>
      </c>
      <c r="H16" s="5"/>
      <c r="I16" s="5"/>
      <c r="J16" s="5"/>
      <c r="K16" s="5"/>
      <c r="L16" s="3" t="s">
        <v>17</v>
      </c>
    </row>
    <row r="17" spans="1:12" x14ac:dyDescent="0.3">
      <c r="A17" s="2">
        <v>46216</v>
      </c>
      <c r="B17" s="3" t="s">
        <v>11</v>
      </c>
      <c r="C17" s="12"/>
      <c r="D17" s="13">
        <v>3</v>
      </c>
      <c r="E17" s="6"/>
      <c r="F17" s="8">
        <v>3</v>
      </c>
      <c r="G17" s="8">
        <f t="shared" si="0"/>
        <v>1620</v>
      </c>
      <c r="H17" s="5"/>
      <c r="I17" s="5"/>
      <c r="J17" s="5"/>
      <c r="K17" s="5"/>
      <c r="L17" s="3" t="s">
        <v>17</v>
      </c>
    </row>
    <row r="18" spans="1:12" x14ac:dyDescent="0.3">
      <c r="A18" s="2">
        <v>46217</v>
      </c>
      <c r="B18" s="3" t="s">
        <v>12</v>
      </c>
      <c r="C18" s="13"/>
      <c r="D18" s="12">
        <v>3</v>
      </c>
      <c r="E18" s="6"/>
      <c r="F18" s="8">
        <v>3</v>
      </c>
      <c r="G18" s="8">
        <f t="shared" si="0"/>
        <v>1620</v>
      </c>
      <c r="H18" s="5"/>
      <c r="I18" s="5"/>
      <c r="J18" s="5"/>
      <c r="K18" s="5"/>
      <c r="L18" s="3" t="s">
        <v>17</v>
      </c>
    </row>
    <row r="19" spans="1:12" x14ac:dyDescent="0.3">
      <c r="A19" s="2">
        <v>46218</v>
      </c>
      <c r="B19" s="3" t="s">
        <v>13</v>
      </c>
      <c r="C19" s="13"/>
      <c r="D19" s="12">
        <v>4</v>
      </c>
      <c r="E19" s="6"/>
      <c r="F19" s="8">
        <v>4</v>
      </c>
      <c r="G19" s="8">
        <f t="shared" si="0"/>
        <v>2160</v>
      </c>
      <c r="H19" s="5"/>
      <c r="I19" s="5"/>
      <c r="J19" s="5"/>
      <c r="K19" s="5"/>
      <c r="L19" s="3" t="s">
        <v>17</v>
      </c>
    </row>
    <row r="20" spans="1:12" x14ac:dyDescent="0.3">
      <c r="A20" s="2">
        <v>46219</v>
      </c>
      <c r="B20" s="3" t="s">
        <v>14</v>
      </c>
      <c r="C20" s="13"/>
      <c r="D20" s="12">
        <v>3</v>
      </c>
      <c r="E20" s="6"/>
      <c r="F20" s="8">
        <v>3</v>
      </c>
      <c r="G20" s="8">
        <f t="shared" si="0"/>
        <v>1620</v>
      </c>
      <c r="H20" s="5"/>
      <c r="I20" s="5"/>
      <c r="J20" s="5"/>
      <c r="K20" s="5"/>
      <c r="L20" s="3" t="s">
        <v>17</v>
      </c>
    </row>
    <row r="21" spans="1:12" x14ac:dyDescent="0.3">
      <c r="A21" s="2">
        <v>46220</v>
      </c>
      <c r="B21" s="3" t="s">
        <v>15</v>
      </c>
      <c r="C21" s="13"/>
      <c r="D21" s="11"/>
      <c r="E21" s="8"/>
      <c r="F21" s="8"/>
      <c r="G21" s="8">
        <f t="shared" si="0"/>
        <v>0</v>
      </c>
      <c r="H21" s="5"/>
      <c r="I21" s="5"/>
      <c r="J21" s="5"/>
      <c r="K21" s="5"/>
      <c r="L21" s="3" t="s">
        <v>21</v>
      </c>
    </row>
    <row r="22" spans="1:12" x14ac:dyDescent="0.3">
      <c r="A22" s="2">
        <v>46221</v>
      </c>
      <c r="B22" s="3" t="s">
        <v>16</v>
      </c>
      <c r="C22" s="13"/>
      <c r="D22" s="12">
        <v>4</v>
      </c>
      <c r="E22" s="6"/>
      <c r="F22" s="8">
        <v>4</v>
      </c>
      <c r="G22" s="8">
        <f t="shared" si="0"/>
        <v>2160</v>
      </c>
      <c r="H22" s="5"/>
      <c r="I22" s="5"/>
      <c r="J22" s="5"/>
      <c r="K22" s="5"/>
      <c r="L22" s="3" t="s">
        <v>17</v>
      </c>
    </row>
    <row r="23" spans="1:12" x14ac:dyDescent="0.3">
      <c r="A23" s="2">
        <v>46222</v>
      </c>
      <c r="B23" s="3" t="s">
        <v>9</v>
      </c>
      <c r="C23" s="13"/>
      <c r="D23" s="12">
        <v>4</v>
      </c>
      <c r="E23" s="6"/>
      <c r="F23" s="8">
        <v>4</v>
      </c>
      <c r="G23" s="8">
        <f t="shared" si="0"/>
        <v>2160</v>
      </c>
      <c r="H23" s="5"/>
      <c r="I23" s="5"/>
      <c r="J23" s="5"/>
      <c r="K23" s="5"/>
      <c r="L23" s="3" t="s">
        <v>17</v>
      </c>
    </row>
    <row r="24" spans="1:12" x14ac:dyDescent="0.3">
      <c r="A24" s="2">
        <v>46223</v>
      </c>
      <c r="B24" s="3" t="s">
        <v>11</v>
      </c>
      <c r="C24" s="13"/>
      <c r="D24" s="12">
        <v>2</v>
      </c>
      <c r="E24" s="6"/>
      <c r="F24" s="8">
        <v>2</v>
      </c>
      <c r="G24" s="8">
        <f t="shared" si="0"/>
        <v>1080</v>
      </c>
      <c r="H24" s="5"/>
      <c r="I24" s="5"/>
      <c r="J24" s="5"/>
      <c r="K24" s="5"/>
      <c r="L24" s="3" t="s">
        <v>17</v>
      </c>
    </row>
    <row r="25" spans="1:12" x14ac:dyDescent="0.3">
      <c r="A25" s="2">
        <v>46224</v>
      </c>
      <c r="B25" s="3" t="s">
        <v>12</v>
      </c>
      <c r="C25" s="13"/>
      <c r="D25" s="11"/>
      <c r="E25" s="8"/>
      <c r="F25" s="8"/>
      <c r="G25" s="8">
        <f t="shared" si="0"/>
        <v>0</v>
      </c>
      <c r="H25" s="5"/>
      <c r="I25" s="5"/>
      <c r="J25" s="5"/>
      <c r="K25" s="5"/>
      <c r="L25" s="3" t="s">
        <v>17</v>
      </c>
    </row>
    <row r="26" spans="1:12" x14ac:dyDescent="0.3">
      <c r="A26" s="2">
        <v>46225</v>
      </c>
      <c r="B26" s="3" t="s">
        <v>13</v>
      </c>
      <c r="C26" s="13"/>
      <c r="D26" s="11"/>
      <c r="E26" s="8"/>
      <c r="F26" s="8"/>
      <c r="G26" s="8">
        <f t="shared" si="0"/>
        <v>0</v>
      </c>
      <c r="H26" s="5"/>
      <c r="I26" s="5"/>
      <c r="J26" s="5"/>
      <c r="K26" s="5"/>
      <c r="L26" s="3" t="s">
        <v>17</v>
      </c>
    </row>
    <row r="27" spans="1:12" x14ac:dyDescent="0.3">
      <c r="A27" s="2">
        <v>46226</v>
      </c>
      <c r="B27" s="3" t="s">
        <v>14</v>
      </c>
      <c r="C27" s="13"/>
      <c r="D27" s="11"/>
      <c r="E27" s="8"/>
      <c r="F27" s="8"/>
      <c r="G27" s="8">
        <f t="shared" si="0"/>
        <v>0</v>
      </c>
      <c r="H27" s="5"/>
      <c r="I27" s="5"/>
      <c r="J27" s="5"/>
      <c r="K27" s="5"/>
      <c r="L27" s="3" t="s">
        <v>33</v>
      </c>
    </row>
    <row r="28" spans="1:12" x14ac:dyDescent="0.3">
      <c r="A28" s="2">
        <v>46227</v>
      </c>
      <c r="B28" s="3" t="s">
        <v>15</v>
      </c>
      <c r="C28" s="13"/>
      <c r="D28" s="11"/>
      <c r="E28" s="8"/>
      <c r="F28" s="8"/>
      <c r="G28" s="8">
        <f t="shared" si="0"/>
        <v>0</v>
      </c>
      <c r="H28" s="5"/>
      <c r="I28" s="5"/>
      <c r="J28" s="5"/>
      <c r="K28" s="5"/>
      <c r="L28" s="3" t="s">
        <v>35</v>
      </c>
    </row>
    <row r="29" spans="1:12" x14ac:dyDescent="0.3">
      <c r="A29" s="2">
        <v>46228</v>
      </c>
      <c r="B29" s="3" t="s">
        <v>16</v>
      </c>
      <c r="C29" s="13"/>
      <c r="D29" s="11"/>
      <c r="E29" s="8"/>
      <c r="F29" s="8"/>
      <c r="G29" s="8">
        <f t="shared" si="0"/>
        <v>0</v>
      </c>
      <c r="H29" s="5"/>
      <c r="I29" s="5"/>
      <c r="J29" s="5"/>
      <c r="K29" s="5"/>
      <c r="L29" s="3" t="s">
        <v>17</v>
      </c>
    </row>
    <row r="30" spans="1:12" x14ac:dyDescent="0.3">
      <c r="A30" s="2">
        <v>46229</v>
      </c>
      <c r="B30" s="3" t="s">
        <v>9</v>
      </c>
      <c r="C30" s="13"/>
      <c r="D30" s="12">
        <v>2</v>
      </c>
      <c r="E30" s="6"/>
      <c r="F30" s="8">
        <v>2</v>
      </c>
      <c r="G30" s="8">
        <f t="shared" si="0"/>
        <v>1080</v>
      </c>
      <c r="H30" s="5"/>
      <c r="I30" s="5"/>
      <c r="J30" s="5"/>
      <c r="K30" s="5"/>
      <c r="L30" s="3" t="s">
        <v>32</v>
      </c>
    </row>
    <row r="31" spans="1:12" x14ac:dyDescent="0.3">
      <c r="A31" s="2">
        <v>46230</v>
      </c>
      <c r="B31" s="3" t="s">
        <v>11</v>
      </c>
      <c r="C31" s="12">
        <v>4</v>
      </c>
      <c r="D31" s="13">
        <v>3</v>
      </c>
      <c r="E31" s="6"/>
      <c r="F31" s="8">
        <v>11</v>
      </c>
      <c r="G31" s="8">
        <f t="shared" si="0"/>
        <v>5940</v>
      </c>
      <c r="H31" s="5"/>
      <c r="I31" s="5"/>
      <c r="J31" s="5"/>
      <c r="K31" s="5"/>
      <c r="L31" s="3" t="s">
        <v>44</v>
      </c>
    </row>
    <row r="32" spans="1:12" x14ac:dyDescent="0.3">
      <c r="A32" s="2">
        <v>46231</v>
      </c>
      <c r="B32" s="3" t="s">
        <v>12</v>
      </c>
      <c r="C32" s="12">
        <v>2</v>
      </c>
      <c r="D32" s="13"/>
      <c r="E32" s="6"/>
      <c r="F32" s="8">
        <v>4</v>
      </c>
      <c r="G32" s="8">
        <f t="shared" si="0"/>
        <v>2160</v>
      </c>
      <c r="H32" s="5"/>
      <c r="I32" s="5"/>
      <c r="J32" s="5"/>
      <c r="K32" s="5"/>
      <c r="L32" s="3" t="s">
        <v>32</v>
      </c>
    </row>
    <row r="33" spans="1:12" x14ac:dyDescent="0.3">
      <c r="A33" s="2">
        <v>46232</v>
      </c>
      <c r="B33" s="3" t="s">
        <v>13</v>
      </c>
      <c r="C33" s="12">
        <v>1</v>
      </c>
      <c r="D33" s="13"/>
      <c r="E33" s="6"/>
      <c r="F33" s="8">
        <v>2</v>
      </c>
      <c r="G33" s="8">
        <f t="shared" si="0"/>
        <v>1080</v>
      </c>
      <c r="H33" s="5"/>
      <c r="I33" s="5"/>
      <c r="J33" s="5"/>
      <c r="K33" s="5"/>
      <c r="L33" s="3" t="s">
        <v>32</v>
      </c>
    </row>
    <row r="34" spans="1:12" x14ac:dyDescent="0.3">
      <c r="A34" s="2">
        <v>46233</v>
      </c>
      <c r="B34" s="3" t="s">
        <v>14</v>
      </c>
      <c r="C34" s="11"/>
      <c r="D34" s="13"/>
      <c r="E34" s="8"/>
      <c r="F34" s="8"/>
      <c r="G34" s="8">
        <f t="shared" si="0"/>
        <v>0</v>
      </c>
      <c r="H34" s="5"/>
      <c r="I34" s="5"/>
      <c r="J34" s="5"/>
      <c r="K34" s="5"/>
      <c r="L34" s="3" t="s">
        <v>37</v>
      </c>
    </row>
    <row r="35" spans="1:12" x14ac:dyDescent="0.3">
      <c r="A35" s="2">
        <v>46234</v>
      </c>
      <c r="B35" s="3" t="s">
        <v>15</v>
      </c>
      <c r="C35" s="11"/>
      <c r="D35" s="13"/>
      <c r="E35" s="8"/>
      <c r="F35" s="8"/>
      <c r="G35" s="8">
        <f t="shared" si="0"/>
        <v>0</v>
      </c>
      <c r="H35" s="5"/>
      <c r="I35" s="5"/>
      <c r="J35" s="5"/>
      <c r="K35" s="5"/>
      <c r="L35" s="3" t="s">
        <v>35</v>
      </c>
    </row>
    <row r="36" spans="1:12" x14ac:dyDescent="0.3">
      <c r="A36" s="2">
        <v>46235</v>
      </c>
      <c r="B36" s="3" t="s">
        <v>16</v>
      </c>
      <c r="C36" s="13"/>
      <c r="D36" s="12">
        <v>11</v>
      </c>
      <c r="E36" s="6"/>
      <c r="F36" s="8">
        <v>11</v>
      </c>
      <c r="G36" s="8">
        <f t="shared" si="0"/>
        <v>5940</v>
      </c>
      <c r="H36" s="5"/>
      <c r="I36" s="5"/>
      <c r="J36" s="5"/>
      <c r="K36" s="5"/>
      <c r="L36" s="3" t="s">
        <v>34</v>
      </c>
    </row>
    <row r="37" spans="1:12" x14ac:dyDescent="0.3">
      <c r="A37" s="2">
        <v>46236</v>
      </c>
      <c r="B37" s="3" t="s">
        <v>9</v>
      </c>
      <c r="C37" s="13"/>
      <c r="D37" s="12">
        <v>5</v>
      </c>
      <c r="E37" s="6"/>
      <c r="F37" s="8">
        <v>5</v>
      </c>
      <c r="G37" s="8">
        <f t="shared" si="0"/>
        <v>2700</v>
      </c>
      <c r="H37" s="5"/>
      <c r="I37" s="5"/>
      <c r="J37" s="5"/>
      <c r="K37" s="5"/>
      <c r="L37" s="3" t="s">
        <v>10</v>
      </c>
    </row>
    <row r="38" spans="1:12" x14ac:dyDescent="0.3">
      <c r="A38" s="2">
        <v>46237</v>
      </c>
      <c r="B38" s="3" t="s">
        <v>11</v>
      </c>
      <c r="C38" s="8"/>
      <c r="E38" s="8"/>
      <c r="F38" s="8"/>
      <c r="G38" s="8">
        <f t="shared" si="0"/>
        <v>0</v>
      </c>
      <c r="H38" s="5"/>
      <c r="I38" s="5"/>
      <c r="J38" s="5"/>
      <c r="K38" s="5"/>
      <c r="L38" s="3" t="s">
        <v>39</v>
      </c>
    </row>
    <row r="39" spans="1:12" x14ac:dyDescent="0.3">
      <c r="A39" s="2">
        <v>46238</v>
      </c>
      <c r="B39" s="3" t="s">
        <v>12</v>
      </c>
      <c r="C39" s="8"/>
      <c r="E39" s="8"/>
      <c r="F39" s="8"/>
      <c r="G39" s="8">
        <f t="shared" si="0"/>
        <v>0</v>
      </c>
      <c r="H39" s="5"/>
      <c r="I39" s="5"/>
      <c r="J39" s="5"/>
      <c r="K39" s="5"/>
      <c r="L39" s="3" t="s">
        <v>39</v>
      </c>
    </row>
    <row r="40" spans="1:12" x14ac:dyDescent="0.3">
      <c r="A40" s="2">
        <v>46239</v>
      </c>
      <c r="B40" s="3" t="s">
        <v>13</v>
      </c>
      <c r="C40" s="8"/>
      <c r="E40" s="8"/>
      <c r="F40" s="8"/>
      <c r="G40" s="8">
        <f t="shared" si="0"/>
        <v>0</v>
      </c>
      <c r="H40" s="5"/>
      <c r="I40" s="5"/>
      <c r="J40" s="5"/>
      <c r="K40" s="5"/>
      <c r="L40" s="3" t="s">
        <v>39</v>
      </c>
    </row>
    <row r="41" spans="1:12" x14ac:dyDescent="0.3">
      <c r="A41" s="2">
        <v>46240</v>
      </c>
      <c r="B41" s="3" t="s">
        <v>14</v>
      </c>
      <c r="C41" s="8"/>
      <c r="E41" s="8"/>
      <c r="F41" s="8"/>
      <c r="G41" s="8">
        <f t="shared" si="0"/>
        <v>0</v>
      </c>
      <c r="H41" s="5"/>
      <c r="I41" s="5"/>
      <c r="J41" s="5"/>
      <c r="K41" s="5"/>
      <c r="L41" s="3" t="s">
        <v>39</v>
      </c>
    </row>
    <row r="42" spans="1:12" x14ac:dyDescent="0.3">
      <c r="A42" s="2">
        <v>46241</v>
      </c>
      <c r="B42" s="3" t="s">
        <v>15</v>
      </c>
      <c r="C42" s="8"/>
      <c r="E42" s="8"/>
      <c r="F42" s="8"/>
      <c r="G42" s="8">
        <f t="shared" si="0"/>
        <v>0</v>
      </c>
      <c r="H42" s="5"/>
      <c r="I42" s="5"/>
      <c r="J42" s="5"/>
      <c r="K42" s="5"/>
      <c r="L42" s="3" t="s">
        <v>35</v>
      </c>
    </row>
    <row r="43" spans="1:12" x14ac:dyDescent="0.3">
      <c r="A43" s="2">
        <v>46242</v>
      </c>
      <c r="B43" s="3" t="s">
        <v>16</v>
      </c>
      <c r="C43" s="6"/>
      <c r="E43" s="6"/>
      <c r="F43" s="8"/>
      <c r="G43" s="8">
        <f t="shared" si="0"/>
        <v>0</v>
      </c>
      <c r="H43" s="5"/>
      <c r="I43" s="5"/>
      <c r="J43" s="5"/>
      <c r="K43" s="5"/>
      <c r="L43" s="3" t="s">
        <v>40</v>
      </c>
    </row>
    <row r="44" spans="1:12" x14ac:dyDescent="0.3">
      <c r="A44" s="2">
        <v>46243</v>
      </c>
      <c r="B44" s="3" t="s">
        <v>9</v>
      </c>
      <c r="C44" s="6">
        <v>4</v>
      </c>
      <c r="E44" s="6"/>
      <c r="F44" s="6">
        <v>8</v>
      </c>
      <c r="G44" s="8">
        <f t="shared" si="0"/>
        <v>4320</v>
      </c>
      <c r="H44" s="5"/>
      <c r="I44" s="5"/>
      <c r="J44" s="5"/>
      <c r="K44" s="5"/>
      <c r="L44" s="3" t="s">
        <v>18</v>
      </c>
    </row>
    <row r="45" spans="1:12" x14ac:dyDescent="0.3">
      <c r="A45" s="2">
        <v>46244</v>
      </c>
      <c r="B45" s="3" t="s">
        <v>11</v>
      </c>
      <c r="C45" s="6">
        <v>4</v>
      </c>
      <c r="E45" s="6"/>
      <c r="F45" s="6">
        <v>8</v>
      </c>
      <c r="G45" s="8">
        <f t="shared" si="0"/>
        <v>4320</v>
      </c>
      <c r="H45" s="5"/>
      <c r="I45" s="5"/>
      <c r="J45" s="5"/>
      <c r="K45" s="5"/>
      <c r="L45" s="3" t="s">
        <v>10</v>
      </c>
    </row>
    <row r="46" spans="1:12" x14ac:dyDescent="0.3">
      <c r="A46" s="2">
        <v>46245</v>
      </c>
      <c r="B46" s="3" t="s">
        <v>12</v>
      </c>
      <c r="C46" s="6">
        <v>1</v>
      </c>
      <c r="E46" s="6"/>
      <c r="F46" s="8">
        <v>2</v>
      </c>
      <c r="G46" s="8">
        <f t="shared" si="0"/>
        <v>1080</v>
      </c>
      <c r="H46" s="5"/>
      <c r="I46" s="5"/>
      <c r="J46" s="5"/>
      <c r="K46" s="5"/>
      <c r="L46" s="3" t="s">
        <v>19</v>
      </c>
    </row>
    <row r="47" spans="1:12" x14ac:dyDescent="0.3">
      <c r="A47" s="2">
        <v>46246</v>
      </c>
      <c r="B47" s="3" t="s">
        <v>13</v>
      </c>
      <c r="C47" s="6">
        <v>6</v>
      </c>
      <c r="E47" s="6"/>
      <c r="F47" s="8">
        <v>12</v>
      </c>
      <c r="G47" s="8">
        <f t="shared" si="0"/>
        <v>6480</v>
      </c>
      <c r="H47" s="5"/>
      <c r="I47" s="5"/>
      <c r="J47" s="5"/>
      <c r="K47" s="5"/>
      <c r="L47" s="3" t="s">
        <v>20</v>
      </c>
    </row>
    <row r="48" spans="1:12" x14ac:dyDescent="0.3">
      <c r="A48" s="2">
        <v>46247</v>
      </c>
      <c r="B48" s="3" t="s">
        <v>14</v>
      </c>
      <c r="C48" s="6"/>
      <c r="E48" s="6"/>
      <c r="F48" s="8"/>
      <c r="G48" s="8">
        <f t="shared" si="0"/>
        <v>0</v>
      </c>
      <c r="H48" s="5"/>
      <c r="I48" s="5"/>
      <c r="J48" s="5"/>
      <c r="K48" s="5"/>
      <c r="L48" s="3" t="s">
        <v>37</v>
      </c>
    </row>
    <row r="49" spans="1:12" x14ac:dyDescent="0.3">
      <c r="A49" s="2">
        <v>46248</v>
      </c>
      <c r="B49" s="3" t="s">
        <v>15</v>
      </c>
      <c r="C49" s="8"/>
      <c r="E49" s="8"/>
      <c r="F49" s="8"/>
      <c r="G49" s="8">
        <f t="shared" si="0"/>
        <v>0</v>
      </c>
      <c r="H49" s="5"/>
      <c r="I49" s="5"/>
      <c r="J49" s="5"/>
      <c r="K49" s="5"/>
      <c r="L49" s="3" t="s">
        <v>35</v>
      </c>
    </row>
    <row r="50" spans="1:12" x14ac:dyDescent="0.3">
      <c r="A50" s="2">
        <v>46249</v>
      </c>
      <c r="B50" s="3" t="s">
        <v>16</v>
      </c>
      <c r="C50" s="6">
        <v>5</v>
      </c>
      <c r="E50" s="6"/>
      <c r="F50" s="6">
        <v>10</v>
      </c>
      <c r="G50" s="8">
        <f t="shared" si="0"/>
        <v>5400</v>
      </c>
      <c r="H50" s="5"/>
      <c r="I50" s="5"/>
      <c r="J50" s="5"/>
      <c r="K50" s="5"/>
      <c r="L50" s="3" t="s">
        <v>22</v>
      </c>
    </row>
    <row r="51" spans="1:12" x14ac:dyDescent="0.3">
      <c r="A51" s="2">
        <v>46250</v>
      </c>
      <c r="B51" s="3" t="s">
        <v>9</v>
      </c>
      <c r="C51" s="6"/>
      <c r="E51" s="6"/>
      <c r="F51" s="8"/>
      <c r="G51" s="8">
        <f t="shared" si="0"/>
        <v>0</v>
      </c>
      <c r="H51" s="5"/>
      <c r="I51" s="5"/>
      <c r="J51" s="5"/>
      <c r="K51" s="5"/>
      <c r="L51" s="3" t="s">
        <v>37</v>
      </c>
    </row>
    <row r="52" spans="1:12" x14ac:dyDescent="0.3">
      <c r="A52" s="2">
        <v>46251</v>
      </c>
      <c r="B52" s="3" t="s">
        <v>11</v>
      </c>
      <c r="C52" s="6"/>
      <c r="E52" s="6"/>
      <c r="F52" s="8"/>
      <c r="G52" s="8">
        <f t="shared" si="0"/>
        <v>0</v>
      </c>
      <c r="H52" s="5"/>
      <c r="I52" s="5"/>
      <c r="J52" s="5"/>
      <c r="K52" s="5"/>
      <c r="L52" s="3" t="s">
        <v>37</v>
      </c>
    </row>
    <row r="53" spans="1:12" x14ac:dyDescent="0.3">
      <c r="A53" s="2">
        <v>46252</v>
      </c>
      <c r="B53" s="3" t="s">
        <v>12</v>
      </c>
      <c r="C53" s="6"/>
      <c r="E53" s="6"/>
      <c r="F53" s="8"/>
      <c r="G53" s="8">
        <f t="shared" si="0"/>
        <v>0</v>
      </c>
      <c r="H53" s="5"/>
      <c r="I53" s="5"/>
      <c r="J53" s="5"/>
      <c r="K53" s="5"/>
      <c r="L53" s="3" t="s">
        <v>37</v>
      </c>
    </row>
    <row r="54" spans="1:12" x14ac:dyDescent="0.3">
      <c r="A54" s="2">
        <v>46253</v>
      </c>
      <c r="B54" s="3" t="s">
        <v>13</v>
      </c>
      <c r="C54" s="6">
        <v>2</v>
      </c>
      <c r="D54" s="6">
        <v>3</v>
      </c>
      <c r="E54" s="6"/>
      <c r="F54" s="8">
        <v>7</v>
      </c>
      <c r="G54" s="8">
        <f t="shared" si="0"/>
        <v>3780</v>
      </c>
      <c r="H54" s="5"/>
      <c r="I54" s="5"/>
      <c r="J54" s="5"/>
      <c r="K54" s="5"/>
      <c r="L54" s="3" t="s">
        <v>23</v>
      </c>
    </row>
    <row r="55" spans="1:12" x14ac:dyDescent="0.3">
      <c r="A55" s="2">
        <v>46254</v>
      </c>
      <c r="B55" s="3" t="s">
        <v>14</v>
      </c>
      <c r="C55" s="6">
        <v>4</v>
      </c>
      <c r="D55" s="6">
        <v>4</v>
      </c>
      <c r="E55" s="6"/>
      <c r="F55" s="6">
        <v>12</v>
      </c>
      <c r="G55" s="8">
        <f t="shared" si="0"/>
        <v>6480</v>
      </c>
      <c r="H55" s="5"/>
      <c r="I55" s="5"/>
      <c r="J55" s="5"/>
      <c r="K55" s="5"/>
      <c r="L55" s="3" t="s">
        <v>44</v>
      </c>
    </row>
    <row r="56" spans="1:12" x14ac:dyDescent="0.3">
      <c r="A56" s="2">
        <v>46255</v>
      </c>
      <c r="B56" s="3" t="s">
        <v>15</v>
      </c>
      <c r="C56" s="6"/>
      <c r="E56" s="6"/>
      <c r="F56" s="8"/>
      <c r="G56" s="8">
        <f t="shared" si="0"/>
        <v>0</v>
      </c>
      <c r="H56" s="5"/>
      <c r="I56" s="5"/>
      <c r="J56" s="5"/>
      <c r="K56" s="5"/>
      <c r="L56" s="3" t="s">
        <v>35</v>
      </c>
    </row>
    <row r="57" spans="1:12" x14ac:dyDescent="0.3">
      <c r="A57" s="2">
        <v>46256</v>
      </c>
      <c r="B57" s="3" t="s">
        <v>16</v>
      </c>
      <c r="C57" s="6">
        <v>4</v>
      </c>
      <c r="D57" s="10">
        <v>5</v>
      </c>
      <c r="E57" s="6"/>
      <c r="F57" s="6">
        <v>13</v>
      </c>
      <c r="G57" s="8">
        <f t="shared" si="0"/>
        <v>7020</v>
      </c>
      <c r="H57" s="5"/>
      <c r="I57" s="5"/>
      <c r="J57" s="5"/>
      <c r="K57" s="5"/>
      <c r="L57" s="3" t="s">
        <v>44</v>
      </c>
    </row>
    <row r="58" spans="1:12" x14ac:dyDescent="0.3">
      <c r="A58" s="2">
        <v>46257</v>
      </c>
      <c r="B58" s="3" t="s">
        <v>9</v>
      </c>
      <c r="C58" s="6">
        <v>4</v>
      </c>
      <c r="D58" s="10">
        <v>1</v>
      </c>
      <c r="E58" s="6"/>
      <c r="F58" s="6">
        <v>9</v>
      </c>
      <c r="G58" s="8">
        <f t="shared" si="0"/>
        <v>4860</v>
      </c>
      <c r="H58" s="5"/>
      <c r="I58" s="5"/>
      <c r="J58" s="5"/>
      <c r="K58" s="5"/>
      <c r="L58" s="3" t="s">
        <v>44</v>
      </c>
    </row>
    <row r="59" spans="1:12" x14ac:dyDescent="0.3">
      <c r="A59" s="2">
        <v>46258</v>
      </c>
      <c r="B59" s="3" t="s">
        <v>11</v>
      </c>
      <c r="C59" s="6">
        <v>2</v>
      </c>
      <c r="E59" s="6"/>
      <c r="F59" s="6">
        <v>4</v>
      </c>
      <c r="G59" s="8">
        <f t="shared" si="0"/>
        <v>2160</v>
      </c>
      <c r="H59" s="5"/>
      <c r="I59" s="5"/>
      <c r="J59" s="5"/>
      <c r="K59" s="5"/>
      <c r="L59" s="3" t="s">
        <v>32</v>
      </c>
    </row>
    <row r="60" spans="1:12" x14ac:dyDescent="0.3">
      <c r="A60" s="2">
        <v>46259</v>
      </c>
      <c r="B60" s="3" t="s">
        <v>12</v>
      </c>
      <c r="C60" s="6"/>
      <c r="E60" s="6"/>
      <c r="F60" s="8"/>
      <c r="G60" s="8">
        <f t="shared" si="0"/>
        <v>0</v>
      </c>
      <c r="H60" s="5"/>
      <c r="I60" s="5"/>
      <c r="J60" s="5"/>
      <c r="K60" s="5"/>
      <c r="L60" s="3" t="s">
        <v>24</v>
      </c>
    </row>
    <row r="61" spans="1:12" x14ac:dyDescent="0.3">
      <c r="A61" s="2">
        <v>46260</v>
      </c>
      <c r="B61" s="3" t="s">
        <v>13</v>
      </c>
      <c r="C61" s="6">
        <v>2</v>
      </c>
      <c r="D61" s="10">
        <v>4</v>
      </c>
      <c r="E61" s="6"/>
      <c r="F61" s="6">
        <v>8</v>
      </c>
      <c r="G61" s="8">
        <f t="shared" si="0"/>
        <v>4320</v>
      </c>
      <c r="H61" s="5"/>
      <c r="I61" s="5"/>
      <c r="J61" s="5"/>
      <c r="K61" s="5"/>
      <c r="L61" s="3" t="s">
        <v>31</v>
      </c>
    </row>
    <row r="62" spans="1:12" x14ac:dyDescent="0.3">
      <c r="A62" s="2">
        <v>46261</v>
      </c>
      <c r="B62" s="3" t="s">
        <v>14</v>
      </c>
      <c r="C62" s="6">
        <v>3</v>
      </c>
      <c r="E62" s="6"/>
      <c r="F62" s="6">
        <v>6</v>
      </c>
      <c r="G62" s="8">
        <f t="shared" si="0"/>
        <v>3240</v>
      </c>
      <c r="H62" s="5"/>
      <c r="I62" s="5"/>
      <c r="J62" s="5"/>
      <c r="K62" s="5"/>
      <c r="L62" s="3" t="s">
        <v>31</v>
      </c>
    </row>
    <row r="63" spans="1:12" x14ac:dyDescent="0.3">
      <c r="A63" s="2">
        <v>46262</v>
      </c>
      <c r="B63" s="3" t="s">
        <v>15</v>
      </c>
      <c r="C63" s="6"/>
      <c r="E63" s="6"/>
      <c r="F63" s="8"/>
      <c r="G63" s="8">
        <f t="shared" si="0"/>
        <v>0</v>
      </c>
      <c r="H63" s="5"/>
      <c r="I63" s="5"/>
      <c r="J63" s="5"/>
      <c r="K63" s="5"/>
      <c r="L63" s="3" t="s">
        <v>35</v>
      </c>
    </row>
    <row r="64" spans="1:12" x14ac:dyDescent="0.3">
      <c r="A64" s="2">
        <v>46263</v>
      </c>
      <c r="B64" s="3" t="s">
        <v>16</v>
      </c>
      <c r="C64" s="6"/>
      <c r="D64" s="10">
        <v>1</v>
      </c>
      <c r="E64" s="6"/>
      <c r="F64" s="8">
        <v>1</v>
      </c>
      <c r="G64" s="8">
        <f t="shared" si="0"/>
        <v>540</v>
      </c>
      <c r="H64" s="5"/>
      <c r="I64" s="5"/>
      <c r="J64" s="5"/>
      <c r="K64" s="5"/>
      <c r="L64" s="3" t="s">
        <v>31</v>
      </c>
    </row>
    <row r="65" spans="1:12" x14ac:dyDescent="0.3">
      <c r="A65" s="2">
        <v>46264</v>
      </c>
      <c r="B65" s="3" t="s">
        <v>9</v>
      </c>
      <c r="C65" s="6"/>
      <c r="E65" s="6"/>
      <c r="F65" s="8"/>
      <c r="G65" s="8">
        <f t="shared" si="0"/>
        <v>0</v>
      </c>
      <c r="H65" s="5"/>
      <c r="I65" s="5"/>
      <c r="J65" s="5"/>
      <c r="K65" s="5"/>
      <c r="L65" s="3" t="s">
        <v>37</v>
      </c>
    </row>
    <row r="66" spans="1:12" x14ac:dyDescent="0.3">
      <c r="A66" s="2">
        <v>46265</v>
      </c>
      <c r="B66" s="3" t="s">
        <v>11</v>
      </c>
      <c r="C66" s="8"/>
      <c r="E66" s="8"/>
      <c r="F66" s="8"/>
      <c r="G66" s="8">
        <f t="shared" si="0"/>
        <v>0</v>
      </c>
      <c r="H66" s="5"/>
      <c r="I66" s="5"/>
      <c r="J66" s="5"/>
      <c r="K66" s="5"/>
      <c r="L66" s="3" t="s">
        <v>37</v>
      </c>
    </row>
    <row r="67" spans="1:12" x14ac:dyDescent="0.3">
      <c r="A67" s="2">
        <v>46266</v>
      </c>
      <c r="B67" s="3" t="s">
        <v>12</v>
      </c>
      <c r="C67" s="8"/>
      <c r="E67" s="8"/>
      <c r="F67" s="8"/>
      <c r="G67" s="8">
        <f t="shared" si="0"/>
        <v>0</v>
      </c>
      <c r="H67" s="5"/>
      <c r="I67" s="5"/>
      <c r="J67" s="5"/>
      <c r="K67" s="5"/>
      <c r="L67" s="3" t="s">
        <v>37</v>
      </c>
    </row>
    <row r="68" spans="1:12" x14ac:dyDescent="0.3">
      <c r="A68" s="2">
        <v>46267</v>
      </c>
      <c r="B68" s="3" t="s">
        <v>13</v>
      </c>
      <c r="C68" s="8"/>
      <c r="E68" s="8"/>
      <c r="F68" s="8"/>
      <c r="G68" s="8">
        <f t="shared" si="0"/>
        <v>0</v>
      </c>
      <c r="H68" s="5"/>
      <c r="I68" s="5"/>
      <c r="J68" s="5"/>
      <c r="K68" s="5"/>
      <c r="L68" s="3" t="s">
        <v>38</v>
      </c>
    </row>
    <row r="69" spans="1:12" x14ac:dyDescent="0.3">
      <c r="A69" s="2">
        <v>46268</v>
      </c>
      <c r="B69" s="3" t="s">
        <v>14</v>
      </c>
      <c r="C69" s="8"/>
      <c r="E69" s="8"/>
      <c r="F69" s="8"/>
      <c r="G69" s="8">
        <f t="shared" si="0"/>
        <v>0</v>
      </c>
      <c r="H69" s="5"/>
      <c r="I69" s="5"/>
      <c r="J69" s="5"/>
      <c r="K69" s="5"/>
      <c r="L69" s="3" t="s">
        <v>37</v>
      </c>
    </row>
    <row r="70" spans="1:12" x14ac:dyDescent="0.3">
      <c r="A70" s="2">
        <v>46269</v>
      </c>
      <c r="B70" s="3" t="s">
        <v>15</v>
      </c>
      <c r="C70" s="8"/>
      <c r="E70" s="8"/>
      <c r="F70" s="8"/>
      <c r="G70" s="8">
        <f t="shared" si="0"/>
        <v>0</v>
      </c>
      <c r="H70" s="5"/>
      <c r="I70" s="5"/>
      <c r="J70" s="5"/>
      <c r="K70" s="5"/>
      <c r="L70" s="3" t="s">
        <v>35</v>
      </c>
    </row>
    <row r="71" spans="1:12" x14ac:dyDescent="0.3">
      <c r="A71" s="2">
        <v>46270</v>
      </c>
      <c r="B71" s="3" t="s">
        <v>16</v>
      </c>
      <c r="C71" s="8"/>
      <c r="E71" s="8"/>
      <c r="F71" s="8"/>
      <c r="G71" s="8">
        <f t="shared" si="0"/>
        <v>0</v>
      </c>
      <c r="H71" s="5"/>
      <c r="I71" s="5"/>
      <c r="J71" s="5"/>
      <c r="K71" s="5"/>
      <c r="L71" s="3" t="s">
        <v>37</v>
      </c>
    </row>
    <row r="72" spans="1:12" x14ac:dyDescent="0.3">
      <c r="A72" s="2">
        <v>46271</v>
      </c>
      <c r="B72" s="3" t="s">
        <v>9</v>
      </c>
      <c r="C72" s="6">
        <v>3</v>
      </c>
      <c r="E72" s="6"/>
      <c r="F72" s="6">
        <v>6</v>
      </c>
      <c r="G72" s="8">
        <f t="shared" si="0"/>
        <v>3240</v>
      </c>
      <c r="H72" s="5"/>
      <c r="I72" s="5"/>
      <c r="J72" s="5"/>
      <c r="K72" s="5"/>
      <c r="L72" s="3" t="s">
        <v>10</v>
      </c>
    </row>
    <row r="73" spans="1:12" x14ac:dyDescent="0.3">
      <c r="A73" s="2">
        <v>46272</v>
      </c>
      <c r="B73" s="3" t="s">
        <v>11</v>
      </c>
      <c r="C73" s="6">
        <v>4</v>
      </c>
      <c r="E73" s="6"/>
      <c r="F73" s="6">
        <v>8</v>
      </c>
      <c r="G73" s="8">
        <f t="shared" si="0"/>
        <v>4320</v>
      </c>
      <c r="H73" s="5"/>
      <c r="I73" s="5"/>
      <c r="J73" s="5"/>
      <c r="K73" s="5"/>
      <c r="L73" s="3" t="s">
        <v>10</v>
      </c>
    </row>
    <row r="74" spans="1:12" x14ac:dyDescent="0.3">
      <c r="A74" s="2">
        <v>46273</v>
      </c>
      <c r="B74" s="3" t="s">
        <v>12</v>
      </c>
      <c r="C74" s="6">
        <v>3</v>
      </c>
      <c r="E74" s="6"/>
      <c r="F74" s="6">
        <v>6</v>
      </c>
      <c r="G74" s="8">
        <f t="shared" si="0"/>
        <v>3240</v>
      </c>
      <c r="H74" s="5"/>
      <c r="I74" s="5"/>
      <c r="J74" s="5"/>
      <c r="K74" s="5"/>
      <c r="L74" s="3" t="s">
        <v>25</v>
      </c>
    </row>
    <row r="75" spans="1:12" x14ac:dyDescent="0.3">
      <c r="A75" s="2">
        <v>46274</v>
      </c>
      <c r="B75" s="3" t="s">
        <v>13</v>
      </c>
      <c r="C75" s="6">
        <v>4</v>
      </c>
      <c r="E75" s="6"/>
      <c r="F75" s="6">
        <v>8</v>
      </c>
      <c r="G75" s="8">
        <f t="shared" si="0"/>
        <v>4320</v>
      </c>
      <c r="H75" s="5"/>
      <c r="I75" s="5"/>
      <c r="J75" s="5"/>
      <c r="K75" s="5"/>
      <c r="L75" s="3" t="s">
        <v>10</v>
      </c>
    </row>
    <row r="76" spans="1:12" x14ac:dyDescent="0.3">
      <c r="A76" s="2">
        <v>46275</v>
      </c>
      <c r="B76" s="3" t="s">
        <v>14</v>
      </c>
      <c r="C76" s="6">
        <v>2</v>
      </c>
      <c r="E76" s="6"/>
      <c r="F76" s="6">
        <v>4</v>
      </c>
      <c r="G76" s="8">
        <f t="shared" si="0"/>
        <v>2160</v>
      </c>
      <c r="H76" s="5"/>
      <c r="I76" s="5"/>
      <c r="J76" s="5"/>
      <c r="K76" s="5"/>
      <c r="L76" s="3" t="s">
        <v>10</v>
      </c>
    </row>
    <row r="77" spans="1:12" x14ac:dyDescent="0.3">
      <c r="A77" s="2">
        <v>46276</v>
      </c>
      <c r="B77" s="3" t="s">
        <v>15</v>
      </c>
      <c r="C77" s="6"/>
      <c r="E77" s="6"/>
      <c r="F77" s="8"/>
      <c r="G77" s="8">
        <f t="shared" si="0"/>
        <v>0</v>
      </c>
      <c r="H77" s="5"/>
      <c r="I77" s="5"/>
      <c r="J77" s="5"/>
      <c r="K77" s="5"/>
      <c r="L77" s="3" t="s">
        <v>35</v>
      </c>
    </row>
    <row r="78" spans="1:12" x14ac:dyDescent="0.3">
      <c r="A78" s="2">
        <v>46277</v>
      </c>
      <c r="B78" s="3" t="s">
        <v>16</v>
      </c>
      <c r="C78" s="6">
        <v>2</v>
      </c>
      <c r="E78" s="6"/>
      <c r="F78" s="6">
        <v>4</v>
      </c>
      <c r="G78" s="8">
        <f t="shared" ref="G78:G91" si="1">F78*540</f>
        <v>2160</v>
      </c>
      <c r="H78" s="5"/>
      <c r="I78" s="5"/>
      <c r="J78" s="5"/>
      <c r="K78" s="5"/>
      <c r="L78" s="3" t="s">
        <v>10</v>
      </c>
    </row>
    <row r="79" spans="1:12" x14ac:dyDescent="0.3">
      <c r="A79" s="2">
        <v>46278</v>
      </c>
      <c r="B79" s="3" t="s">
        <v>9</v>
      </c>
      <c r="C79" s="6">
        <v>2</v>
      </c>
      <c r="E79" s="6"/>
      <c r="F79" s="6">
        <v>4</v>
      </c>
      <c r="G79" s="8">
        <f t="shared" si="1"/>
        <v>2160</v>
      </c>
      <c r="H79" s="5"/>
      <c r="I79" s="5"/>
      <c r="J79" s="5"/>
      <c r="K79" s="5"/>
      <c r="L79" s="3" t="s">
        <v>26</v>
      </c>
    </row>
    <row r="80" spans="1:12" x14ac:dyDescent="0.3">
      <c r="A80" s="2">
        <v>46279</v>
      </c>
      <c r="B80" s="3" t="s">
        <v>11</v>
      </c>
      <c r="C80" s="6">
        <v>3</v>
      </c>
      <c r="E80" s="6"/>
      <c r="F80" s="6">
        <v>6</v>
      </c>
      <c r="G80" s="8">
        <f t="shared" si="1"/>
        <v>3240</v>
      </c>
      <c r="H80" s="5"/>
      <c r="I80" s="5"/>
      <c r="J80" s="5"/>
      <c r="K80" s="5"/>
      <c r="L80" s="3" t="s">
        <v>10</v>
      </c>
    </row>
    <row r="81" spans="1:12" x14ac:dyDescent="0.3">
      <c r="A81" s="2">
        <v>46280</v>
      </c>
      <c r="B81" s="3" t="s">
        <v>12</v>
      </c>
      <c r="C81" s="6">
        <v>2</v>
      </c>
      <c r="E81" s="6"/>
      <c r="F81" s="6">
        <v>4</v>
      </c>
      <c r="G81" s="8">
        <f t="shared" si="1"/>
        <v>2160</v>
      </c>
      <c r="H81" s="4">
        <v>4</v>
      </c>
      <c r="I81" s="4">
        <v>2</v>
      </c>
      <c r="J81" s="5"/>
      <c r="K81" s="5">
        <f>SUM(H81:J81)</f>
        <v>6</v>
      </c>
      <c r="L81" s="3" t="s">
        <v>10</v>
      </c>
    </row>
    <row r="82" spans="1:12" x14ac:dyDescent="0.3">
      <c r="A82" s="2">
        <v>46281</v>
      </c>
      <c r="B82" s="3" t="s">
        <v>13</v>
      </c>
      <c r="C82" s="6"/>
      <c r="E82" s="6"/>
      <c r="F82" s="8"/>
      <c r="G82" s="8">
        <f t="shared" si="1"/>
        <v>0</v>
      </c>
      <c r="H82" s="5"/>
      <c r="I82" s="5"/>
      <c r="J82" s="5"/>
      <c r="K82" s="5"/>
      <c r="L82" s="3" t="s">
        <v>27</v>
      </c>
    </row>
    <row r="83" spans="1:12" x14ac:dyDescent="0.3">
      <c r="A83" s="2">
        <v>46282</v>
      </c>
      <c r="B83" s="3" t="s">
        <v>14</v>
      </c>
      <c r="C83" s="6"/>
      <c r="E83" s="6"/>
      <c r="F83" s="8"/>
      <c r="G83" s="8">
        <f t="shared" si="1"/>
        <v>0</v>
      </c>
      <c r="H83" s="5"/>
      <c r="I83" s="5"/>
      <c r="J83" s="5"/>
      <c r="K83" s="5"/>
      <c r="L83" s="3" t="s">
        <v>27</v>
      </c>
    </row>
    <row r="84" spans="1:12" x14ac:dyDescent="0.3">
      <c r="A84" s="2">
        <v>46283</v>
      </c>
      <c r="B84" s="3" t="s">
        <v>15</v>
      </c>
      <c r="C84" s="6"/>
      <c r="E84" s="6"/>
      <c r="F84" s="8"/>
      <c r="G84" s="8">
        <f t="shared" si="1"/>
        <v>0</v>
      </c>
      <c r="H84" s="5"/>
      <c r="I84" s="5"/>
      <c r="J84" s="5"/>
      <c r="K84" s="5"/>
      <c r="L84" s="3" t="s">
        <v>36</v>
      </c>
    </row>
    <row r="85" spans="1:12" x14ac:dyDescent="0.3">
      <c r="A85" s="2">
        <v>46284</v>
      </c>
      <c r="B85" s="3" t="s">
        <v>16</v>
      </c>
      <c r="C85" s="6"/>
      <c r="E85" s="6"/>
      <c r="F85" s="8"/>
      <c r="G85" s="8">
        <f t="shared" si="1"/>
        <v>0</v>
      </c>
      <c r="H85" s="5"/>
      <c r="I85" s="5"/>
      <c r="J85" s="5"/>
      <c r="K85" s="5"/>
      <c r="L85" s="3" t="s">
        <v>27</v>
      </c>
    </row>
    <row r="86" spans="1:12" x14ac:dyDescent="0.3">
      <c r="A86" s="2">
        <v>46285</v>
      </c>
      <c r="B86" s="3" t="s">
        <v>9</v>
      </c>
      <c r="C86" s="6">
        <v>3</v>
      </c>
      <c r="E86" s="6"/>
      <c r="F86" s="6">
        <v>6</v>
      </c>
      <c r="G86" s="8">
        <f t="shared" si="1"/>
        <v>3240</v>
      </c>
      <c r="H86" s="5"/>
      <c r="I86" s="5"/>
      <c r="J86" s="5"/>
      <c r="K86" s="5"/>
      <c r="L86" s="3" t="s">
        <v>10</v>
      </c>
    </row>
    <row r="87" spans="1:12" x14ac:dyDescent="0.3">
      <c r="A87" s="2">
        <v>46286</v>
      </c>
      <c r="B87" s="3" t="s">
        <v>11</v>
      </c>
      <c r="C87" s="6">
        <v>3</v>
      </c>
      <c r="E87" s="6"/>
      <c r="F87" s="6">
        <v>6</v>
      </c>
      <c r="G87" s="8">
        <f t="shared" si="1"/>
        <v>3240</v>
      </c>
      <c r="H87" s="4">
        <v>4</v>
      </c>
      <c r="I87" s="4">
        <v>2</v>
      </c>
      <c r="J87" s="4">
        <v>1</v>
      </c>
      <c r="K87" s="5">
        <f>SUM(H87:J87)</f>
        <v>7</v>
      </c>
      <c r="L87" s="3" t="s">
        <v>10</v>
      </c>
    </row>
    <row r="88" spans="1:12" x14ac:dyDescent="0.3">
      <c r="A88" s="2">
        <v>46287</v>
      </c>
      <c r="B88" s="3" t="s">
        <v>12</v>
      </c>
      <c r="C88" s="6">
        <v>3</v>
      </c>
      <c r="E88" s="6"/>
      <c r="F88" s="6">
        <v>6</v>
      </c>
      <c r="G88" s="8">
        <f t="shared" si="1"/>
        <v>3240</v>
      </c>
      <c r="H88" s="4">
        <v>4</v>
      </c>
      <c r="I88" s="4">
        <v>3</v>
      </c>
      <c r="J88" s="5"/>
      <c r="K88" s="5">
        <f>SUM(H88:J88)</f>
        <v>7</v>
      </c>
      <c r="L88" s="3" t="s">
        <v>10</v>
      </c>
    </row>
    <row r="89" spans="1:12" x14ac:dyDescent="0.3">
      <c r="A89" s="2">
        <v>46288</v>
      </c>
      <c r="B89" s="3" t="s">
        <v>13</v>
      </c>
      <c r="C89" s="6">
        <v>4</v>
      </c>
      <c r="E89" s="6"/>
      <c r="F89" s="6">
        <v>8</v>
      </c>
      <c r="G89" s="8">
        <f t="shared" si="1"/>
        <v>4320</v>
      </c>
      <c r="H89" s="4">
        <v>5</v>
      </c>
      <c r="I89" s="4">
        <v>5</v>
      </c>
      <c r="J89" s="4">
        <v>2</v>
      </c>
      <c r="K89" s="5">
        <f>SUM(H89:J89)</f>
        <v>12</v>
      </c>
      <c r="L89" s="3" t="s">
        <v>10</v>
      </c>
    </row>
    <row r="90" spans="1:12" x14ac:dyDescent="0.3">
      <c r="A90" s="2">
        <v>46289</v>
      </c>
      <c r="B90" s="3" t="s">
        <v>14</v>
      </c>
      <c r="C90" s="6">
        <v>2</v>
      </c>
      <c r="E90" s="6"/>
      <c r="F90" s="6">
        <v>4</v>
      </c>
      <c r="G90" s="8">
        <f t="shared" si="1"/>
        <v>2160</v>
      </c>
      <c r="H90" s="4">
        <v>4</v>
      </c>
      <c r="I90" s="4">
        <v>3</v>
      </c>
      <c r="J90" s="5"/>
      <c r="K90" s="5">
        <f>SUM(H90:J90)</f>
        <v>7</v>
      </c>
      <c r="L90" s="3" t="s">
        <v>45</v>
      </c>
    </row>
    <row r="91" spans="1:12" x14ac:dyDescent="0.3">
      <c r="A91" s="2">
        <v>46290</v>
      </c>
      <c r="B91" s="3" t="s">
        <v>15</v>
      </c>
      <c r="C91" s="6"/>
      <c r="E91" s="6"/>
      <c r="F91" s="8"/>
      <c r="G91" s="8">
        <f t="shared" si="1"/>
        <v>0</v>
      </c>
      <c r="H91" s="5"/>
      <c r="I91" s="5"/>
      <c r="J91" s="5"/>
      <c r="K91" s="5"/>
      <c r="L91" s="3" t="s">
        <v>35</v>
      </c>
    </row>
  </sheetData>
  <autoFilter ref="A1:L9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Günlük Veri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Erhan ÖZKAN</cp:lastModifiedBy>
  <cp:revision>0</cp:revision>
  <dcterms:created xsi:type="dcterms:W3CDTF">2026-09-24T22:15:17Z</dcterms:created>
  <dcterms:modified xsi:type="dcterms:W3CDTF">2026-09-25T20:23:44Z</dcterms:modified>
  <dc:language>en-US</dc:language>
</cp:coreProperties>
</file>